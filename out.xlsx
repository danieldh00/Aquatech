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" state="visible" r:id="rId4"/>
    <sheet sheetId="2" name="Stuklijst" state="visible" r:id="rId5"/>
    <sheet sheetId="3" name="Zones" state="visible" r:id="rId6"/>
    <sheet sheetId="4" name="Sproeiers" state="visible" r:id="rId7"/>
    <sheet sheetId="5" name="Leidingen" state="visible" r:id="rId8"/>
  </sheets>
  <calcPr calcId="171027"/>
</workbook>
</file>

<file path=xl/sharedStrings.xml><?xml version="1.0" encoding="utf-8"?>
<sst xmlns="http://schemas.openxmlformats.org/spreadsheetml/2006/main" count="249" uniqueCount="133">
  <si>
    <t>Beregeningsplan</t>
  </si>
  <si>
    <t>Voorbeeldtuin</t>
  </si>
  <si>
    <t>Klant</t>
  </si>
  <si>
    <t/>
  </si>
  <si>
    <t>Adres</t>
  </si>
  <si>
    <t>Datum</t>
  </si>
  <si>
    <t>17-10-2026</t>
  </si>
  <si>
    <t>Uitvoering</t>
  </si>
  <si>
    <t>Expert – Aanbevolen: wifi-besturing, flexibele aansluitingen</t>
  </si>
  <si>
    <t>Waterdruk (dynamisch)</t>
  </si>
  <si>
    <t>3.5 bar</t>
  </si>
  <si>
    <t>Beschikbaar debiet</t>
  </si>
  <si>
    <t>2 m³/h</t>
  </si>
  <si>
    <t>Max. debiet per zone</t>
  </si>
  <si>
    <t>1.80 m³/h</t>
  </si>
  <si>
    <t>Gazonoppervlak</t>
  </si>
  <si>
    <t>184.0 m²</t>
  </si>
  <si>
    <t>Aantal sproeiers</t>
  </si>
  <si>
    <t>Aantal zones</t>
  </si>
  <si>
    <t>Weekgift (doel)</t>
  </si>
  <si>
    <t>20 mm in 3 beurten</t>
  </si>
  <si>
    <t>Artikelcode</t>
  </si>
  <si>
    <t>Omschrijving</t>
  </si>
  <si>
    <t>Aantal</t>
  </si>
  <si>
    <t>Eenheid</t>
  </si>
  <si>
    <t>Prijs/eenheid</t>
  </si>
  <si>
    <t>Totaal</t>
  </si>
  <si>
    <t>Opmerking</t>
  </si>
  <si>
    <t>ROT-POP10-PRS</t>
  </si>
  <si>
    <t>Pop-up huis 10 cm met drukregeling 2,8 bar (rotator)</t>
  </si>
  <si>
    <t>st</t>
  </si>
  <si>
    <t>ROT-MP2000</t>
  </si>
  <si>
    <t>Rotator kop 4,0–6,4 m</t>
  </si>
  <si>
    <t>ROT-STRIP</t>
  </si>
  <si>
    <t>Rotator strookkop (zijstrook)</t>
  </si>
  <si>
    <t>CON-FLEX</t>
  </si>
  <si>
    <t>Flexibele aansluitset (swing pipe 0,5 m + 2 koppelingen)</t>
  </si>
  <si>
    <t>set</t>
  </si>
  <si>
    <t>PE-25</t>
  </si>
  <si>
    <t>PE-buis 25 mm PN6</t>
  </si>
  <si>
    <t>m</t>
  </si>
  <si>
    <t>incl. 10% reserve</t>
  </si>
  <si>
    <t>PE-32</t>
  </si>
  <si>
    <t>PE-buis 32 mm PN6</t>
  </si>
  <si>
    <t>FIT-T-25</t>
  </si>
  <si>
    <t>Knel T-stuk 25 mm</t>
  </si>
  <si>
    <t>FIT-T-32</t>
  </si>
  <si>
    <t>Knel T-stuk 32 mm</t>
  </si>
  <si>
    <t>FIT-L-25</t>
  </si>
  <si>
    <t>Knel knie 90° 25 mm</t>
  </si>
  <si>
    <t>FIT-ADAPT</t>
  </si>
  <si>
    <t>Knel koppeling met buitendraad (ventielaansluiting)</t>
  </si>
  <si>
    <t>VAL-24V</t>
  </si>
  <si>
    <t>Magneetventiel 1" 24 VAC</t>
  </si>
  <si>
    <t>VAL-MANIFOLD</t>
  </si>
  <si>
    <t>Ventielverdeler (koppelstuk per ventiel)</t>
  </si>
  <si>
    <t>BOX-STD</t>
  </si>
  <si>
    <t>Ventielkast standaard (max. 3 ventielen)</t>
  </si>
  <si>
    <t>CTRL-WIFI</t>
  </si>
  <si>
    <t>Beregeningscomputer wifi (app-bediening, weerdata)</t>
  </si>
  <si>
    <t>3 stations nodig</t>
  </si>
  <si>
    <t>SEN-RAIN</t>
  </si>
  <si>
    <t>Regensensor</t>
  </si>
  <si>
    <t>CAB-7</t>
  </si>
  <si>
    <t>Stuurkabel 7-aderig (ondergronds)</t>
  </si>
  <si>
    <t>CAB-CON</t>
  </si>
  <si>
    <t>Waterdichte kabelverbinder</t>
  </si>
  <si>
    <t>MAIN-VALVE</t>
  </si>
  <si>
    <t>Hoofdafsluiter met aftapkraan (vorstvrij aftappen)</t>
  </si>
  <si>
    <t>BACKFLOW</t>
  </si>
  <si>
    <t>Terugstroombeveiliging (klasse volgens NEN-EN 1717 / Waterwerkblad)</t>
  </si>
  <si>
    <t>FILTER</t>
  </si>
  <si>
    <t>Hoofdfilter 1" 130 µm</t>
  </si>
  <si>
    <t>OUTLET</t>
  </si>
  <si>
    <t>Waterpunt in grondkastje met snelkoppeling</t>
  </si>
  <si>
    <t>DRIP-16</t>
  </si>
  <si>
    <t>Druppelslang 16 mm, 2,2 l/h, 33 cm</t>
  </si>
  <si>
    <t>incl. 5% reserve</t>
  </si>
  <si>
    <t>DRIP-PRV</t>
  </si>
  <si>
    <t>Drukregelaar 1,5 bar + filter (druppelzone)</t>
  </si>
  <si>
    <t>DRIP-T</t>
  </si>
  <si>
    <t>T-stuk 16 mm druppelslang</t>
  </si>
  <si>
    <t>DRIP-END</t>
  </si>
  <si>
    <t>Eindstop 16 mm</t>
  </si>
  <si>
    <t>DRIP-ADAPT</t>
  </si>
  <si>
    <t>Overgang PE 25 mm naar 16 mm</t>
  </si>
  <si>
    <t>DRIP-PIN</t>
  </si>
  <si>
    <t>Grondpen voor druppelslang</t>
  </si>
  <si>
    <t>DRIP-FLUSH</t>
  </si>
  <si>
    <t>Spoelventiel 16 mm (automatisch)</t>
  </si>
  <si>
    <t>TAPE</t>
  </si>
  <si>
    <t>Teflontape</t>
  </si>
  <si>
    <t>rol</t>
  </si>
  <si>
    <t>Subtotaal</t>
  </si>
  <si>
    <t>Btw 21%</t>
  </si>
  <si>
    <t>Totaal incl. btw</t>
  </si>
  <si>
    <t>Prijzen indicatief, excl. btw. Pas kolom E aan naar actuele prijzen.</t>
  </si>
  <si>
    <t>Zone</t>
  </si>
  <si>
    <t>Type</t>
  </si>
  <si>
    <t>Onderdelen</t>
  </si>
  <si>
    <t>Debiet (m³/h)</t>
  </si>
  <si>
    <t>Debiet (l/min)</t>
  </si>
  <si>
    <t>Druk na ventiel (bar)</t>
  </si>
  <si>
    <t>Druk kritisch punt (bar)</t>
  </si>
  <si>
    <t>Vereist (bar)</t>
  </si>
  <si>
    <t>Status</t>
  </si>
  <si>
    <t>Neerslag (mm/h)</t>
  </si>
  <si>
    <t>Looptijd per beurt (min)</t>
  </si>
  <si>
    <t>Beurten/week</t>
  </si>
  <si>
    <t>Zone 1</t>
  </si>
  <si>
    <t>Rotators</t>
  </si>
  <si>
    <t>OK</t>
  </si>
  <si>
    <t>Zone 2</t>
  </si>
  <si>
    <t>Zone 3</t>
  </si>
  <si>
    <t>Druppelirrigatie</t>
  </si>
  <si>
    <t>Nr</t>
  </si>
  <si>
    <t>X (m)</t>
  </si>
  <si>
    <t>Y (m)</t>
  </si>
  <si>
    <t>Worpwijdte / strook (m)</t>
  </si>
  <si>
    <t>Boog (°)</t>
  </si>
  <si>
    <t>Richting (°)</t>
  </si>
  <si>
    <t>Druk (bar)</t>
  </si>
  <si>
    <t>Kop</t>
  </si>
  <si>
    <t>Multistream rotator (MP-type)</t>
  </si>
  <si>
    <t>Strooksproeier (rotator, smalle stroken)</t>
  </si>
  <si>
    <t>2 × 6.7</t>
  </si>
  <si>
    <t>-</t>
  </si>
  <si>
    <t>Diameter (mm)</t>
  </si>
  <si>
    <t>Lengte (m)</t>
  </si>
  <si>
    <t>Snelheid (m/s)</t>
  </si>
  <si>
    <t>Drukverlies (bar)</t>
  </si>
  <si>
    <t>Hoofdleiding</t>
  </si>
  <si>
    <t>Waterpunt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</si>
</sst>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 #,##0.00"/>
  </numFmts>
  <fonts count="6" x14ac:knownFonts="1">
    <font>
      <color theme="1"/>
      <family val="2"/>
      <scheme val="minor"/>
      <sz val="11"/>
      <name val="Calibri"/>
    </font>
    <font>
      <b/>
      <color rgb="FF0277BD"/>
      <sz val="16"/>
    </font>
    <font>
      <b/>
    </font>
    <font>
      <b/>
      <color rgb="FFFFFFFF"/>
    </font>
    <font>
      <i/>
      <color rgb="FF757575"/>
    </font>
    <font>
      <b/>
      <color rgb="FF2E7D32"/>
    </font>
  </fonts>
  <fills count="6">
    <fill>
      <patternFill patternType="none"/>
    </fill>
    <fill>
      <patternFill patternType="gray125"/>
    </fill>
    <fill>
      <patternFill patternType="solid">
        <fgColor rgb="FF0277BD"/>
      </patternFill>
    </fill>
    <fill>
      <patternFill patternType="solid">
        <fgColor rgb="FFE6194B"/>
      </patternFill>
    </fill>
    <fill>
      <patternFill patternType="solid">
        <fgColor rgb="FF3CB44B"/>
      </patternFill>
    </fill>
    <fill>
      <patternFill patternType="solid">
        <fgColor rgb="FF436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164" fontId="0" fillId="0" borderId="0" xfId="0" applyNumberFormat="1"/>
    <xf numFmtId="164" fontId="2" fillId="0" borderId="0" xfId="0" applyNumberFormat="1" applyFont="1"/>
    <xf numFmtId="0" fontId="4" fillId="0" borderId="0" xfId="0" applyFont="1"/>
    <xf numFmtId="0" fontId="3" fillId="3" borderId="0" xfId="0" applyFont="1" applyFill="1"/>
    <xf numFmtId="0" fontId="5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15</xdr:row>
      <xdr:rowOff>0</xdr:rowOff>
    </xdr:from>
    <xdr:ext cx="6858000" cy="457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2" customWidth="1"/>
    <col min="2" max="2" width="5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3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6" spans="1:1" x14ac:dyDescent="0.25">
      <c r="A6" s="2"/>
    </row>
    <row r="7" spans="1:2" x14ac:dyDescent="0.25">
      <c r="A7" s="2" t="s">
        <v>9</v>
      </c>
      <c r="B7" t="s">
        <v>10</v>
      </c>
    </row>
    <row r="8" spans="1:2" x14ac:dyDescent="0.25">
      <c r="A8" s="2" t="s">
        <v>11</v>
      </c>
      <c r="B8" t="s">
        <v>12</v>
      </c>
    </row>
    <row r="9" spans="1:2" x14ac:dyDescent="0.25">
      <c r="A9" s="2" t="s">
        <v>13</v>
      </c>
      <c r="B9" t="s">
        <v>14</v>
      </c>
    </row>
    <row r="10" spans="1:2" x14ac:dyDescent="0.25">
      <c r="A10" s="2" t="s">
        <v>15</v>
      </c>
      <c r="B10" t="s">
        <v>16</v>
      </c>
    </row>
    <row r="11" spans="1:2" x14ac:dyDescent="0.25">
      <c r="A11" s="2" t="s">
        <v>17</v>
      </c>
      <c r="B11">
        <v>12</v>
      </c>
    </row>
    <row r="12" spans="1:2" x14ac:dyDescent="0.25">
      <c r="A12" s="2" t="s">
        <v>18</v>
      </c>
      <c r="B12">
        <v>3</v>
      </c>
    </row>
    <row r="13" spans="1:2" x14ac:dyDescent="0.25">
      <c r="A13" s="2" t="s">
        <v>19</v>
      </c>
      <c r="B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2" customWidth="1"/>
    <col min="3" max="3" width="10" customWidth="1"/>
    <col min="5" max="6" width="14" customWidth="1"/>
    <col min="7" max="7" width="28" customWidth="1"/>
  </cols>
  <sheetData>
    <row r="1" spans="1:7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</row>
    <row r="2" spans="1:7" x14ac:dyDescent="0.25">
      <c r="A2" t="s">
        <v>28</v>
      </c>
      <c r="B2" t="s">
        <v>29</v>
      </c>
      <c r="C2">
        <v>12</v>
      </c>
      <c r="D2" t="s">
        <v>30</v>
      </c>
      <c r="E2" s="4">
        <v>8.9</v>
      </c>
      <c r="F2" s="4">
        <f>C2*E2</f>
      </c>
      <c r="G2" t="s">
        <v>3</v>
      </c>
    </row>
    <row r="3" spans="1:7" x14ac:dyDescent="0.25">
      <c r="A3" t="s">
        <v>31</v>
      </c>
      <c r="B3" t="s">
        <v>32</v>
      </c>
      <c r="C3">
        <v>9</v>
      </c>
      <c r="D3" t="s">
        <v>30</v>
      </c>
      <c r="E3" s="4">
        <v>9.5</v>
      </c>
      <c r="F3" s="4">
        <f>C3*E3</f>
      </c>
      <c r="G3" t="s">
        <v>3</v>
      </c>
    </row>
    <row r="4" spans="1:7" x14ac:dyDescent="0.25">
      <c r="A4" t="s">
        <v>33</v>
      </c>
      <c r="B4" t="s">
        <v>34</v>
      </c>
      <c r="C4">
        <v>3</v>
      </c>
      <c r="D4" t="s">
        <v>30</v>
      </c>
      <c r="E4" s="4">
        <v>9.5</v>
      </c>
      <c r="F4" s="4">
        <f>C4*E4</f>
      </c>
      <c r="G4" t="s">
        <v>3</v>
      </c>
    </row>
    <row r="5" spans="1:7" x14ac:dyDescent="0.25">
      <c r="A5" t="s">
        <v>35</v>
      </c>
      <c r="B5" t="s">
        <v>36</v>
      </c>
      <c r="C5">
        <v>12</v>
      </c>
      <c r="D5" t="s">
        <v>37</v>
      </c>
      <c r="E5" s="4">
        <v>3.6</v>
      </c>
      <c r="F5" s="4">
        <f>C5*E5</f>
      </c>
      <c r="G5" t="s">
        <v>3</v>
      </c>
    </row>
    <row r="6" spans="1:7" x14ac:dyDescent="0.25">
      <c r="A6" t="s">
        <v>38</v>
      </c>
      <c r="B6" t="s">
        <v>39</v>
      </c>
      <c r="C6">
        <v>89</v>
      </c>
      <c r="D6" t="s">
        <v>40</v>
      </c>
      <c r="E6" s="4">
        <v>0.85</v>
      </c>
      <c r="F6" s="4">
        <f>C6*E6</f>
      </c>
      <c r="G6" t="s">
        <v>41</v>
      </c>
    </row>
    <row r="7" spans="1:7" x14ac:dyDescent="0.25">
      <c r="A7" t="s">
        <v>42</v>
      </c>
      <c r="B7" t="s">
        <v>43</v>
      </c>
      <c r="C7">
        <v>8</v>
      </c>
      <c r="D7" t="s">
        <v>40</v>
      </c>
      <c r="E7" s="4">
        <v>1.25</v>
      </c>
      <c r="F7" s="4">
        <f>C7*E7</f>
      </c>
      <c r="G7" t="s">
        <v>41</v>
      </c>
    </row>
    <row r="8" spans="1:7" x14ac:dyDescent="0.25">
      <c r="A8" t="s">
        <v>44</v>
      </c>
      <c r="B8" t="s">
        <v>45</v>
      </c>
      <c r="C8">
        <v>11</v>
      </c>
      <c r="D8" t="s">
        <v>30</v>
      </c>
      <c r="E8" s="4">
        <v>2.4</v>
      </c>
      <c r="F8" s="4">
        <f>C8*E8</f>
      </c>
      <c r="G8" t="s">
        <v>3</v>
      </c>
    </row>
    <row r="9" spans="1:7" x14ac:dyDescent="0.25">
      <c r="A9" t="s">
        <v>46</v>
      </c>
      <c r="B9" t="s">
        <v>47</v>
      </c>
      <c r="C9">
        <v>1</v>
      </c>
      <c r="D9" t="s">
        <v>30</v>
      </c>
      <c r="E9" s="4">
        <v>3.4</v>
      </c>
      <c r="F9" s="4">
        <f>C9*E9</f>
      </c>
      <c r="G9" t="s">
        <v>3</v>
      </c>
    </row>
    <row r="10" spans="1:7" x14ac:dyDescent="0.25">
      <c r="A10" t="s">
        <v>48</v>
      </c>
      <c r="B10" t="s">
        <v>49</v>
      </c>
      <c r="C10">
        <v>4</v>
      </c>
      <c r="D10" t="s">
        <v>30</v>
      </c>
      <c r="E10" s="4">
        <v>2</v>
      </c>
      <c r="F10" s="4">
        <f>C10*E10</f>
      </c>
      <c r="G10" t="s">
        <v>3</v>
      </c>
    </row>
    <row r="11" spans="1:7" x14ac:dyDescent="0.25">
      <c r="A11" t="s">
        <v>50</v>
      </c>
      <c r="B11" t="s">
        <v>51</v>
      </c>
      <c r="C11">
        <v>3</v>
      </c>
      <c r="D11" t="s">
        <v>30</v>
      </c>
      <c r="E11" s="4">
        <v>1.9</v>
      </c>
      <c r="F11" s="4">
        <f>C11*E11</f>
      </c>
      <c r="G11" t="s">
        <v>3</v>
      </c>
    </row>
    <row r="12" spans="1:7" x14ac:dyDescent="0.25">
      <c r="A12" t="s">
        <v>52</v>
      </c>
      <c r="B12" t="s">
        <v>53</v>
      </c>
      <c r="C12">
        <v>3</v>
      </c>
      <c r="D12" t="s">
        <v>30</v>
      </c>
      <c r="E12" s="4">
        <v>24.5</v>
      </c>
      <c r="F12" s="4">
        <f>C12*E12</f>
      </c>
      <c r="G12" t="s">
        <v>3</v>
      </c>
    </row>
    <row r="13" spans="1:7" x14ac:dyDescent="0.25">
      <c r="A13" t="s">
        <v>54</v>
      </c>
      <c r="B13" t="s">
        <v>55</v>
      </c>
      <c r="C13">
        <v>3</v>
      </c>
      <c r="D13" t="s">
        <v>30</v>
      </c>
      <c r="E13" s="4">
        <v>4.5</v>
      </c>
      <c r="F13" s="4">
        <f>C13*E13</f>
      </c>
      <c r="G13" t="s">
        <v>3</v>
      </c>
    </row>
    <row r="14" spans="1:7" x14ac:dyDescent="0.25">
      <c r="A14" t="s">
        <v>56</v>
      </c>
      <c r="B14" t="s">
        <v>57</v>
      </c>
      <c r="C14">
        <v>1</v>
      </c>
      <c r="D14" t="s">
        <v>30</v>
      </c>
      <c r="E14" s="4">
        <v>22</v>
      </c>
      <c r="F14" s="4">
        <f>C14*E14</f>
      </c>
      <c r="G14" t="s">
        <v>3</v>
      </c>
    </row>
    <row r="15" spans="1:7" x14ac:dyDescent="0.25">
      <c r="A15" t="s">
        <v>58</v>
      </c>
      <c r="B15" t="s">
        <v>59</v>
      </c>
      <c r="C15">
        <v>1</v>
      </c>
      <c r="D15" t="s">
        <v>30</v>
      </c>
      <c r="E15" s="4">
        <v>179</v>
      </c>
      <c r="F15" s="4">
        <f>C15*E15</f>
      </c>
      <c r="G15" t="s">
        <v>60</v>
      </c>
    </row>
    <row r="16" spans="1:7" x14ac:dyDescent="0.25">
      <c r="A16" t="s">
        <v>61</v>
      </c>
      <c r="B16" t="s">
        <v>62</v>
      </c>
      <c r="C16">
        <v>1</v>
      </c>
      <c r="D16" t="s">
        <v>30</v>
      </c>
      <c r="E16" s="4">
        <v>29</v>
      </c>
      <c r="F16" s="4">
        <f>C16*E16</f>
      </c>
      <c r="G16" t="s">
        <v>3</v>
      </c>
    </row>
    <row r="17" spans="1:7" x14ac:dyDescent="0.25">
      <c r="A17" t="s">
        <v>63</v>
      </c>
      <c r="B17" t="s">
        <v>64</v>
      </c>
      <c r="C17">
        <v>10</v>
      </c>
      <c r="D17" t="s">
        <v>40</v>
      </c>
      <c r="E17" s="4">
        <v>0.95</v>
      </c>
      <c r="F17" s="4">
        <f>C17*E17</f>
      </c>
      <c r="G17" t="s">
        <v>3</v>
      </c>
    </row>
    <row r="18" spans="1:7" x14ac:dyDescent="0.25">
      <c r="A18" t="s">
        <v>65</v>
      </c>
      <c r="B18" t="s">
        <v>66</v>
      </c>
      <c r="C18">
        <v>8</v>
      </c>
      <c r="D18" t="s">
        <v>30</v>
      </c>
      <c r="E18" s="4">
        <v>0.9</v>
      </c>
      <c r="F18" s="4">
        <f>C18*E18</f>
      </c>
      <c r="G18" t="s">
        <v>3</v>
      </c>
    </row>
    <row r="19" spans="1:7" x14ac:dyDescent="0.25">
      <c r="A19" t="s">
        <v>67</v>
      </c>
      <c r="B19" t="s">
        <v>68</v>
      </c>
      <c r="C19">
        <v>1</v>
      </c>
      <c r="D19" t="s">
        <v>30</v>
      </c>
      <c r="E19" s="4">
        <v>14.5</v>
      </c>
      <c r="F19" s="4">
        <f>C19*E19</f>
      </c>
      <c r="G19" t="s">
        <v>3</v>
      </c>
    </row>
    <row r="20" spans="1:7" x14ac:dyDescent="0.25">
      <c r="A20" t="s">
        <v>69</v>
      </c>
      <c r="B20" t="s">
        <v>70</v>
      </c>
      <c r="C20">
        <v>1</v>
      </c>
      <c r="D20" t="s">
        <v>30</v>
      </c>
      <c r="E20" s="4">
        <v>39</v>
      </c>
      <c r="F20" s="4">
        <f>C20*E20</f>
      </c>
      <c r="G20" t="s">
        <v>3</v>
      </c>
    </row>
    <row r="21" spans="1:7" x14ac:dyDescent="0.25">
      <c r="A21" t="s">
        <v>71</v>
      </c>
      <c r="B21" t="s">
        <v>72</v>
      </c>
      <c r="C21">
        <v>1</v>
      </c>
      <c r="D21" t="s">
        <v>30</v>
      </c>
      <c r="E21" s="4">
        <v>19.5</v>
      </c>
      <c r="F21" s="4">
        <f>C21*E21</f>
      </c>
      <c r="G21" t="s">
        <v>3</v>
      </c>
    </row>
    <row r="22" spans="1:7" x14ac:dyDescent="0.25">
      <c r="A22" t="s">
        <v>73</v>
      </c>
      <c r="B22" t="s">
        <v>74</v>
      </c>
      <c r="C22">
        <v>1</v>
      </c>
      <c r="D22" t="s">
        <v>30</v>
      </c>
      <c r="E22" s="4">
        <v>29</v>
      </c>
      <c r="F22" s="4">
        <f>C22*E22</f>
      </c>
      <c r="G22" t="s">
        <v>3</v>
      </c>
    </row>
    <row r="23" spans="1:7" x14ac:dyDescent="0.25">
      <c r="A23" t="s">
        <v>75</v>
      </c>
      <c r="B23" t="s">
        <v>76</v>
      </c>
      <c r="C23">
        <v>80</v>
      </c>
      <c r="D23" t="s">
        <v>40</v>
      </c>
      <c r="E23" s="4">
        <v>0.55</v>
      </c>
      <c r="F23" s="4">
        <f>C23*E23</f>
      </c>
      <c r="G23" t="s">
        <v>77</v>
      </c>
    </row>
    <row r="24" spans="1:7" x14ac:dyDescent="0.25">
      <c r="A24" t="s">
        <v>78</v>
      </c>
      <c r="B24" t="s">
        <v>79</v>
      </c>
      <c r="C24">
        <v>1</v>
      </c>
      <c r="D24" t="s">
        <v>30</v>
      </c>
      <c r="E24" s="4">
        <v>16.5</v>
      </c>
      <c r="F24" s="4">
        <f>C24*E24</f>
      </c>
      <c r="G24" t="s">
        <v>3</v>
      </c>
    </row>
    <row r="25" spans="1:7" x14ac:dyDescent="0.25">
      <c r="A25" t="s">
        <v>80</v>
      </c>
      <c r="B25" t="s">
        <v>81</v>
      </c>
      <c r="C25">
        <v>9</v>
      </c>
      <c r="D25" t="s">
        <v>30</v>
      </c>
      <c r="E25" s="4">
        <v>0.6</v>
      </c>
      <c r="F25" s="4">
        <f>C25*E25</f>
      </c>
      <c r="G25" t="s">
        <v>3</v>
      </c>
    </row>
    <row r="26" spans="1:7" x14ac:dyDescent="0.25">
      <c r="A26" t="s">
        <v>82</v>
      </c>
      <c r="B26" t="s">
        <v>83</v>
      </c>
      <c r="C26">
        <v>4</v>
      </c>
      <c r="D26" t="s">
        <v>30</v>
      </c>
      <c r="E26" s="4">
        <v>0.35</v>
      </c>
      <c r="F26" s="4">
        <f>C26*E26</f>
      </c>
      <c r="G26" t="s">
        <v>3</v>
      </c>
    </row>
    <row r="27" spans="1:7" x14ac:dyDescent="0.25">
      <c r="A27" t="s">
        <v>84</v>
      </c>
      <c r="B27" t="s">
        <v>85</v>
      </c>
      <c r="C27">
        <v>2</v>
      </c>
      <c r="D27" t="s">
        <v>30</v>
      </c>
      <c r="E27" s="4">
        <v>1.5</v>
      </c>
      <c r="F27" s="4">
        <f>C27*E27</f>
      </c>
      <c r="G27" t="s">
        <v>3</v>
      </c>
    </row>
    <row r="28" spans="1:7" x14ac:dyDescent="0.25">
      <c r="A28" t="s">
        <v>86</v>
      </c>
      <c r="B28" t="s">
        <v>87</v>
      </c>
      <c r="C28">
        <v>76</v>
      </c>
      <c r="D28" t="s">
        <v>30</v>
      </c>
      <c r="E28" s="4">
        <v>0.12</v>
      </c>
      <c r="F28" s="4">
        <f>C28*E28</f>
      </c>
      <c r="G28" t="s">
        <v>3</v>
      </c>
    </row>
    <row r="29" spans="1:7" x14ac:dyDescent="0.25">
      <c r="A29" t="s">
        <v>88</v>
      </c>
      <c r="B29" t="s">
        <v>89</v>
      </c>
      <c r="C29">
        <v>2</v>
      </c>
      <c r="D29" t="s">
        <v>30</v>
      </c>
      <c r="E29" s="4">
        <v>2.5</v>
      </c>
      <c r="F29" s="4">
        <f>C29*E29</f>
      </c>
      <c r="G29" t="s">
        <v>3</v>
      </c>
    </row>
    <row r="30" spans="1:7" x14ac:dyDescent="0.25">
      <c r="A30" t="s">
        <v>90</v>
      </c>
      <c r="B30" t="s">
        <v>91</v>
      </c>
      <c r="C30">
        <v>1</v>
      </c>
      <c r="D30" t="s">
        <v>92</v>
      </c>
      <c r="E30" s="4">
        <v>1.2</v>
      </c>
      <c r="F30" s="4">
        <f>C30*E30</f>
      </c>
      <c r="G30" t="s">
        <v>3</v>
      </c>
    </row>
    <row r="32" spans="5:6" x14ac:dyDescent="0.25">
      <c r="E32" s="2" t="s">
        <v>93</v>
      </c>
      <c r="F32" s="5">
        <f>SUM(F2:F30)</f>
      </c>
    </row>
    <row r="33" spans="5:6" x14ac:dyDescent="0.25">
      <c r="E33" s="2" t="s">
        <v>94</v>
      </c>
      <c r="F33" s="5">
        <f>F32*0.21</f>
      </c>
    </row>
    <row r="34" spans="5:6" x14ac:dyDescent="0.25">
      <c r="E34" s="2" t="s">
        <v>95</v>
      </c>
      <c r="F34" s="5">
        <f>F32+F33</f>
      </c>
    </row>
    <row r="36" spans="2:2" x14ac:dyDescent="0.25">
      <c r="B36" s="6" t="s">
        <v>96</v>
      </c>
    </row>
  </sheetData>
  <autoFilter ref="A1:G3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12" customWidth="1"/>
    <col min="4" max="5" width="14" customWidth="1"/>
    <col min="6" max="6" width="20" customWidth="1"/>
    <col min="7" max="7" width="22" customWidth="1"/>
    <col min="8" max="8" width="13" customWidth="1"/>
    <col min="9" max="9" width="12" customWidth="1"/>
    <col min="10" max="10" width="16" customWidth="1"/>
    <col min="11" max="11" width="22" customWidth="1"/>
    <col min="12" max="12" width="13" customWidth="1"/>
  </cols>
  <sheetData>
    <row r="1" spans="1:12" s="3" customFormat="1" x14ac:dyDescent="0.25">
      <c r="A1" s="3" t="s">
        <v>97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</row>
    <row r="2" spans="1:12" x14ac:dyDescent="0.25">
      <c r="A2" s="7" t="s">
        <v>109</v>
      </c>
      <c r="B2" t="s">
        <v>110</v>
      </c>
      <c r="C2">
        <v>5</v>
      </c>
      <c r="D2">
        <v>0.881</v>
      </c>
      <c r="E2">
        <v>14.7</v>
      </c>
      <c r="F2">
        <v>3</v>
      </c>
      <c r="G2">
        <v>2.97</v>
      </c>
      <c r="H2">
        <v>2.8</v>
      </c>
      <c r="I2" s="8" t="s">
        <v>111</v>
      </c>
      <c r="J2">
        <v>10</v>
      </c>
      <c r="K2">
        <v>40</v>
      </c>
      <c r="L2">
        <v>3</v>
      </c>
    </row>
    <row r="3" spans="1:12" x14ac:dyDescent="0.25">
      <c r="A3" s="9" t="s">
        <v>112</v>
      </c>
      <c r="B3" t="s">
        <v>110</v>
      </c>
      <c r="C3">
        <v>7</v>
      </c>
      <c r="D3">
        <v>1.042</v>
      </c>
      <c r="E3">
        <v>17.4</v>
      </c>
      <c r="F3">
        <v>3</v>
      </c>
      <c r="G3">
        <v>2.92</v>
      </c>
      <c r="H3">
        <v>2.8</v>
      </c>
      <c r="I3" s="8" t="s">
        <v>111</v>
      </c>
      <c r="J3">
        <v>10</v>
      </c>
      <c r="K3">
        <v>40</v>
      </c>
      <c r="L3">
        <v>3</v>
      </c>
    </row>
    <row r="4" spans="1:12" x14ac:dyDescent="0.25">
      <c r="A4" s="10" t="s">
        <v>113</v>
      </c>
      <c r="B4" t="s">
        <v>114</v>
      </c>
      <c r="C4">
        <v>2</v>
      </c>
      <c r="D4">
        <v>0.507</v>
      </c>
      <c r="E4">
        <v>8.4</v>
      </c>
      <c r="F4">
        <v>3</v>
      </c>
      <c r="G4">
        <v>2.98</v>
      </c>
      <c r="H4">
        <v>1.8</v>
      </c>
      <c r="I4" s="8" t="s">
        <v>111</v>
      </c>
      <c r="J4">
        <v>16.7</v>
      </c>
      <c r="K4">
        <v>24</v>
      </c>
      <c r="L4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0" customWidth="1"/>
    <col min="6" max="6" width="22" customWidth="1"/>
    <col min="7" max="7" width="10" customWidth="1"/>
    <col min="8" max="8" width="12" customWidth="1"/>
    <col min="9" max="9" width="14" customWidth="1"/>
    <col min="10" max="10" width="11" customWidth="1"/>
    <col min="11" max="11" width="14" customWidth="1"/>
  </cols>
  <sheetData>
    <row r="1" spans="1:11" s="3" customFormat="1" x14ac:dyDescent="0.25">
      <c r="A1" s="3" t="s">
        <v>115</v>
      </c>
      <c r="B1" s="3" t="s">
        <v>98</v>
      </c>
      <c r="C1" s="3" t="s">
        <v>97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  <c r="I1" s="3" t="s">
        <v>101</v>
      </c>
      <c r="J1" s="3" t="s">
        <v>121</v>
      </c>
      <c r="K1" s="3" t="s">
        <v>122</v>
      </c>
    </row>
    <row r="2" spans="1:11" x14ac:dyDescent="0.25">
      <c r="A2">
        <v>1</v>
      </c>
      <c r="B2" t="s">
        <v>123</v>
      </c>
      <c r="C2" t="s">
        <v>109</v>
      </c>
      <c r="D2">
        <v>0</v>
      </c>
      <c r="E2">
        <v>8</v>
      </c>
      <c r="F2">
        <v>6</v>
      </c>
      <c r="G2">
        <v>90</v>
      </c>
      <c r="H2">
        <v>0</v>
      </c>
      <c r="I2">
        <v>1.5</v>
      </c>
      <c r="J2">
        <v>2.98</v>
      </c>
      <c r="K2" t="s">
        <v>31</v>
      </c>
    </row>
    <row r="3" spans="1:11" x14ac:dyDescent="0.25">
      <c r="A3">
        <v>2</v>
      </c>
      <c r="B3" t="s">
        <v>123</v>
      </c>
      <c r="C3" t="s">
        <v>109</v>
      </c>
      <c r="D3">
        <v>12</v>
      </c>
      <c r="E3">
        <v>8</v>
      </c>
      <c r="F3">
        <v>6</v>
      </c>
      <c r="G3">
        <v>90</v>
      </c>
      <c r="H3">
        <v>90</v>
      </c>
      <c r="I3">
        <v>1.5</v>
      </c>
      <c r="J3">
        <v>2.99</v>
      </c>
      <c r="K3" t="s">
        <v>31</v>
      </c>
    </row>
    <row r="4" spans="1:11" x14ac:dyDescent="0.25">
      <c r="A4">
        <v>3</v>
      </c>
      <c r="B4" t="s">
        <v>123</v>
      </c>
      <c r="C4" t="s">
        <v>112</v>
      </c>
      <c r="D4">
        <v>12</v>
      </c>
      <c r="E4">
        <v>20</v>
      </c>
      <c r="F4">
        <v>6</v>
      </c>
      <c r="G4">
        <v>90</v>
      </c>
      <c r="H4">
        <v>180</v>
      </c>
      <c r="I4">
        <v>1.5</v>
      </c>
      <c r="J4">
        <v>2.93</v>
      </c>
      <c r="K4" t="s">
        <v>31</v>
      </c>
    </row>
    <row r="5" spans="1:11" x14ac:dyDescent="0.25">
      <c r="A5">
        <v>4</v>
      </c>
      <c r="B5" t="s">
        <v>123</v>
      </c>
      <c r="C5" t="s">
        <v>112</v>
      </c>
      <c r="D5">
        <v>0</v>
      </c>
      <c r="E5">
        <v>20</v>
      </c>
      <c r="F5">
        <v>6</v>
      </c>
      <c r="G5">
        <v>90</v>
      </c>
      <c r="H5">
        <v>270</v>
      </c>
      <c r="I5">
        <v>1.5</v>
      </c>
      <c r="J5">
        <v>2.92</v>
      </c>
      <c r="K5" t="s">
        <v>31</v>
      </c>
    </row>
    <row r="6" spans="1:11" x14ac:dyDescent="0.25">
      <c r="A6">
        <v>5</v>
      </c>
      <c r="B6" t="s">
        <v>123</v>
      </c>
      <c r="C6" t="s">
        <v>109</v>
      </c>
      <c r="D6">
        <v>6</v>
      </c>
      <c r="E6">
        <v>8</v>
      </c>
      <c r="F6">
        <v>6</v>
      </c>
      <c r="G6">
        <v>180</v>
      </c>
      <c r="H6">
        <v>0</v>
      </c>
      <c r="I6">
        <v>3</v>
      </c>
      <c r="J6">
        <v>2.98</v>
      </c>
      <c r="K6" t="s">
        <v>31</v>
      </c>
    </row>
    <row r="7" spans="1:11" x14ac:dyDescent="0.25">
      <c r="A7">
        <v>6</v>
      </c>
      <c r="B7" t="s">
        <v>123</v>
      </c>
      <c r="C7" t="s">
        <v>112</v>
      </c>
      <c r="D7">
        <v>12</v>
      </c>
      <c r="E7">
        <v>14</v>
      </c>
      <c r="F7">
        <v>6</v>
      </c>
      <c r="G7">
        <v>180</v>
      </c>
      <c r="H7">
        <v>90</v>
      </c>
      <c r="I7">
        <v>3</v>
      </c>
      <c r="J7">
        <v>2.95</v>
      </c>
      <c r="K7" t="s">
        <v>31</v>
      </c>
    </row>
    <row r="8" spans="1:11" x14ac:dyDescent="0.25">
      <c r="A8">
        <v>7</v>
      </c>
      <c r="B8" t="s">
        <v>123</v>
      </c>
      <c r="C8" t="s">
        <v>112</v>
      </c>
      <c r="D8">
        <v>6</v>
      </c>
      <c r="E8">
        <v>20</v>
      </c>
      <c r="F8">
        <v>6</v>
      </c>
      <c r="G8">
        <v>180</v>
      </c>
      <c r="H8">
        <v>180</v>
      </c>
      <c r="I8">
        <v>3</v>
      </c>
      <c r="J8">
        <v>2.92</v>
      </c>
      <c r="K8" t="s">
        <v>31</v>
      </c>
    </row>
    <row r="9" spans="1:11" x14ac:dyDescent="0.25">
      <c r="A9">
        <v>8</v>
      </c>
      <c r="B9" t="s">
        <v>123</v>
      </c>
      <c r="C9" t="s">
        <v>112</v>
      </c>
      <c r="D9">
        <v>0</v>
      </c>
      <c r="E9">
        <v>14</v>
      </c>
      <c r="F9">
        <v>6</v>
      </c>
      <c r="G9">
        <v>180</v>
      </c>
      <c r="H9">
        <v>270</v>
      </c>
      <c r="I9">
        <v>3</v>
      </c>
      <c r="J9">
        <v>2.92</v>
      </c>
      <c r="K9" t="s">
        <v>31</v>
      </c>
    </row>
    <row r="10" spans="1:11" x14ac:dyDescent="0.25">
      <c r="A10">
        <v>9</v>
      </c>
      <c r="B10" t="s">
        <v>123</v>
      </c>
      <c r="C10" t="s">
        <v>109</v>
      </c>
      <c r="D10">
        <v>6</v>
      </c>
      <c r="E10">
        <v>14</v>
      </c>
      <c r="F10">
        <v>6</v>
      </c>
      <c r="G10">
        <v>360</v>
      </c>
      <c r="H10">
        <v>0</v>
      </c>
      <c r="I10">
        <v>6</v>
      </c>
      <c r="J10">
        <v>2.97</v>
      </c>
      <c r="K10" t="s">
        <v>31</v>
      </c>
    </row>
    <row r="11" spans="1:11" x14ac:dyDescent="0.25">
      <c r="A11">
        <v>10</v>
      </c>
      <c r="B11" t="s">
        <v>124</v>
      </c>
      <c r="C11" t="s">
        <v>109</v>
      </c>
      <c r="D11">
        <v>15.5</v>
      </c>
      <c r="E11">
        <v>3.33</v>
      </c>
      <c r="F11" t="s">
        <v>125</v>
      </c>
      <c r="G11" t="s">
        <v>126</v>
      </c>
      <c r="H11">
        <v>90</v>
      </c>
      <c r="I11">
        <v>2.68</v>
      </c>
      <c r="J11">
        <v>3</v>
      </c>
      <c r="K11" t="s">
        <v>33</v>
      </c>
    </row>
    <row r="12" spans="1:11" x14ac:dyDescent="0.25">
      <c r="A12">
        <v>11</v>
      </c>
      <c r="B12" t="s">
        <v>124</v>
      </c>
      <c r="C12" t="s">
        <v>112</v>
      </c>
      <c r="D12">
        <v>15.5</v>
      </c>
      <c r="E12">
        <v>10</v>
      </c>
      <c r="F12" t="s">
        <v>125</v>
      </c>
      <c r="G12" t="s">
        <v>126</v>
      </c>
      <c r="H12">
        <v>90</v>
      </c>
      <c r="I12">
        <v>2.68</v>
      </c>
      <c r="J12">
        <v>2.97</v>
      </c>
      <c r="K12" t="s">
        <v>33</v>
      </c>
    </row>
    <row r="13" spans="1:11" x14ac:dyDescent="0.25">
      <c r="A13">
        <v>12</v>
      </c>
      <c r="B13" t="s">
        <v>124</v>
      </c>
      <c r="C13" t="s">
        <v>112</v>
      </c>
      <c r="D13">
        <v>15.5</v>
      </c>
      <c r="E13">
        <v>16.67</v>
      </c>
      <c r="F13" t="s">
        <v>125</v>
      </c>
      <c r="G13" t="s">
        <v>126</v>
      </c>
      <c r="H13">
        <v>90</v>
      </c>
      <c r="I13">
        <v>2.68</v>
      </c>
      <c r="J13">
        <v>2.94</v>
      </c>
      <c r="K1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2" customWidth="1"/>
    <col min="4" max="5" width="14" customWidth="1"/>
    <col min="6" max="6" width="16" customWidth="1"/>
  </cols>
  <sheetData>
    <row r="1" spans="1:6" s="3" customFormat="1" x14ac:dyDescent="0.25">
      <c r="A1" s="3" t="s">
        <v>97</v>
      </c>
      <c r="B1" s="3" t="s">
        <v>127</v>
      </c>
      <c r="C1" s="3" t="s">
        <v>128</v>
      </c>
      <c r="D1" s="3" t="s">
        <v>101</v>
      </c>
      <c r="E1" s="3" t="s">
        <v>129</v>
      </c>
      <c r="F1" s="3" t="s">
        <v>130</v>
      </c>
    </row>
    <row r="2" spans="1:6" x14ac:dyDescent="0.25">
      <c r="A2" t="s">
        <v>131</v>
      </c>
      <c r="B2">
        <v>32</v>
      </c>
      <c r="C2">
        <v>3.24</v>
      </c>
      <c r="D2">
        <v>17.4</v>
      </c>
      <c r="E2" t="s">
        <v>3</v>
      </c>
      <c r="F2" t="s">
        <v>3</v>
      </c>
    </row>
    <row r="3" spans="1:6" x14ac:dyDescent="0.25">
      <c r="A3" t="s">
        <v>109</v>
      </c>
      <c r="B3">
        <v>25</v>
      </c>
      <c r="C3">
        <v>2.26</v>
      </c>
      <c r="D3">
        <v>12</v>
      </c>
      <c r="E3">
        <v>0.58</v>
      </c>
      <c r="F3">
        <v>0.006</v>
      </c>
    </row>
    <row r="4" spans="1:6" x14ac:dyDescent="0.25">
      <c r="A4" t="s">
        <v>109</v>
      </c>
      <c r="B4">
        <v>25</v>
      </c>
      <c r="C4">
        <v>6.3</v>
      </c>
      <c r="D4">
        <v>10.5</v>
      </c>
      <c r="E4">
        <v>0.51</v>
      </c>
      <c r="F4">
        <v>0.013</v>
      </c>
    </row>
    <row r="5" spans="1:6" x14ac:dyDescent="0.25">
      <c r="A5" t="s">
        <v>109</v>
      </c>
      <c r="B5">
        <v>25</v>
      </c>
      <c r="C5">
        <v>6.3</v>
      </c>
      <c r="D5">
        <v>1.5</v>
      </c>
      <c r="E5">
        <v>0.07</v>
      </c>
      <c r="F5">
        <v>0</v>
      </c>
    </row>
    <row r="6" spans="1:6" x14ac:dyDescent="0.25">
      <c r="A6" t="s">
        <v>109</v>
      </c>
      <c r="B6">
        <v>25</v>
      </c>
      <c r="C6">
        <v>6.3</v>
      </c>
      <c r="D6">
        <v>6</v>
      </c>
      <c r="E6">
        <v>0.29</v>
      </c>
      <c r="F6">
        <v>0.004</v>
      </c>
    </row>
    <row r="7" spans="1:6" x14ac:dyDescent="0.25">
      <c r="A7" t="s">
        <v>109</v>
      </c>
      <c r="B7">
        <v>25</v>
      </c>
      <c r="C7">
        <v>3.98</v>
      </c>
      <c r="D7">
        <v>2.7</v>
      </c>
      <c r="E7">
        <v>0.13</v>
      </c>
      <c r="F7">
        <v>0.001</v>
      </c>
    </row>
    <row r="8" spans="1:6" x14ac:dyDescent="0.25">
      <c r="A8" t="s">
        <v>112</v>
      </c>
      <c r="B8">
        <v>25</v>
      </c>
      <c r="C8">
        <v>5.07</v>
      </c>
      <c r="D8">
        <v>17.4</v>
      </c>
      <c r="E8">
        <v>0.84</v>
      </c>
      <c r="F8">
        <v>0.026</v>
      </c>
    </row>
    <row r="9" spans="1:6" x14ac:dyDescent="0.25">
      <c r="A9" t="s">
        <v>112</v>
      </c>
      <c r="B9">
        <v>25</v>
      </c>
      <c r="C9">
        <v>5.58</v>
      </c>
      <c r="D9">
        <v>14.7</v>
      </c>
      <c r="E9">
        <v>0.71</v>
      </c>
      <c r="F9">
        <v>0.021</v>
      </c>
    </row>
    <row r="10" spans="1:6" x14ac:dyDescent="0.25">
      <c r="A10" t="s">
        <v>112</v>
      </c>
      <c r="B10">
        <v>25</v>
      </c>
      <c r="C10">
        <v>4.62</v>
      </c>
      <c r="D10">
        <v>11.7</v>
      </c>
      <c r="E10">
        <v>0.56</v>
      </c>
      <c r="F10">
        <v>0.011</v>
      </c>
    </row>
    <row r="11" spans="1:6" x14ac:dyDescent="0.25">
      <c r="A11" t="s">
        <v>112</v>
      </c>
      <c r="B11">
        <v>25</v>
      </c>
      <c r="C11">
        <v>5.07</v>
      </c>
      <c r="D11">
        <v>9</v>
      </c>
      <c r="E11">
        <v>0.43</v>
      </c>
      <c r="F11">
        <v>0.008</v>
      </c>
    </row>
    <row r="12" spans="1:6" x14ac:dyDescent="0.25">
      <c r="A12" t="s">
        <v>112</v>
      </c>
      <c r="B12">
        <v>25</v>
      </c>
      <c r="C12">
        <v>6.3</v>
      </c>
      <c r="D12">
        <v>7.5</v>
      </c>
      <c r="E12">
        <v>0.36</v>
      </c>
      <c r="F12">
        <v>0.007</v>
      </c>
    </row>
    <row r="13" spans="1:6" x14ac:dyDescent="0.25">
      <c r="A13" t="s">
        <v>112</v>
      </c>
      <c r="B13">
        <v>25</v>
      </c>
      <c r="C13">
        <v>6.3</v>
      </c>
      <c r="D13">
        <v>4.5</v>
      </c>
      <c r="E13">
        <v>0.22</v>
      </c>
      <c r="F13">
        <v>0.003</v>
      </c>
    </row>
    <row r="14" spans="1:6" x14ac:dyDescent="0.25">
      <c r="A14" t="s">
        <v>112</v>
      </c>
      <c r="B14">
        <v>25</v>
      </c>
      <c r="C14">
        <v>6.3</v>
      </c>
      <c r="D14">
        <v>3</v>
      </c>
      <c r="E14">
        <v>0.14</v>
      </c>
      <c r="F14">
        <v>0.001</v>
      </c>
    </row>
    <row r="15" spans="1:6" x14ac:dyDescent="0.25">
      <c r="A15" t="s">
        <v>113</v>
      </c>
      <c r="B15">
        <v>25</v>
      </c>
      <c r="C15">
        <v>14.72</v>
      </c>
      <c r="D15">
        <v>8.4</v>
      </c>
      <c r="E15">
        <v>0.41</v>
      </c>
      <c r="F15">
        <v>0.02</v>
      </c>
    </row>
    <row r="16" spans="1:6" x14ac:dyDescent="0.25">
      <c r="A16" t="s">
        <v>113</v>
      </c>
      <c r="B16">
        <v>25</v>
      </c>
      <c r="C16">
        <v>1.79</v>
      </c>
      <c r="D16">
        <v>3.4</v>
      </c>
      <c r="E16">
        <v>0.17</v>
      </c>
      <c r="F16">
        <v>0</v>
      </c>
    </row>
    <row r="17" spans="1:6" x14ac:dyDescent="0.25">
      <c r="A17" t="s">
        <v>132</v>
      </c>
      <c r="B17">
        <v>32</v>
      </c>
      <c r="C17">
        <v>3.98</v>
      </c>
      <c r="D17">
        <v>0</v>
      </c>
      <c r="E17" t="s">
        <v>3</v>
      </c>
      <c r="F17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</vt:lpstr>
      <vt:lpstr>Stuklijst</vt:lpstr>
      <vt:lpstr>Zones</vt:lpstr>
      <vt:lpstr>Sproeiers</vt:lpstr>
      <vt:lpstr>Leidingen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Aquatech Beregeningsplanner</dc:creator>
  <dc:title/>
  <dc:subject/>
  <dc:description/>
  <cp:keywords/>
  <cp:category/>
  <cp:lastModifiedBy>Unknown</cp:lastModifiedBy>
  <dcterms:created xsi:type="dcterms:W3CDTF">2026-10-17T14:25:07Z</dcterms:created>
  <dcterms:modified xsi:type="dcterms:W3CDTF">2026-10-17T14:25:07Z</dcterms:modified>
</cp:coreProperties>
</file>